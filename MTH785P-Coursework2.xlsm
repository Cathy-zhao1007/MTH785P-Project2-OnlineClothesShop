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oursework2\new\"/>
    </mc:Choice>
  </mc:AlternateContent>
  <xr:revisionPtr revIDLastSave="0" documentId="13_ncr:1_{37590C49-076A-4C31-BA85-76C6B69C51E0}" xr6:coauthVersionLast="36" xr6:coauthVersionMax="47" xr10:uidLastSave="{00000000-0000-0000-0000-000000000000}"/>
  <bookViews>
    <workbookView xWindow="0" yWindow="555" windowWidth="22050" windowHeight="9405" xr2:uid="{00000000-000D-0000-FFFF-FFFF00000000}"/>
  </bookViews>
  <sheets>
    <sheet name="OnlineClothShop" sheetId="1" r:id="rId1"/>
    <sheet name="Sales Pivot Table" sheetId="9" r:id="rId2"/>
    <sheet name="CustomerDetails" sheetId="6" r:id="rId3"/>
  </sheets>
  <definedNames>
    <definedName name="BA_City">OnlineClothShop!$L$3</definedName>
    <definedName name="BA_CustomerID">OnlineClothShop!$B$3</definedName>
    <definedName name="BA_CustomerName">OnlineClothShop!$C$3</definedName>
    <definedName name="BA_Gender">OnlineClothShop!$D$3</definedName>
    <definedName name="BA_OrderDate">OnlineClothShop!$I$3</definedName>
    <definedName name="BA_OrderID">OnlineClothShop!$A$3</definedName>
    <definedName name="BA_OrderStatus">OnlineClothShop!$M$3</definedName>
    <definedName name="BA_ProductID">OnlineClothShop!$E$3</definedName>
    <definedName name="BA_Products">OnlineClothShop!$F$3</definedName>
    <definedName name="BA_Profit">OnlineClothShop!$K$3</definedName>
    <definedName name="BA_Quantity">OnlineClothShop!$J$3</definedName>
    <definedName name="BA_SalePrice">OnlineClothShop!$G$3</definedName>
    <definedName name="BA_UnitCost">OnlineClothShop!$H$3</definedName>
    <definedName name="Business_Analysis_Management">OnlineClothShop!$A$2</definedName>
    <definedName name="City" localSheetId="0">OnlineClothShop!$S$15</definedName>
    <definedName name="Customer">OnlineClothShop!$S$5</definedName>
    <definedName name="CustomerID" localSheetId="0">OnlineClothShop!$S$5</definedName>
    <definedName name="CustomerID">#REF!</definedName>
    <definedName name="CustomerN">OnlineClothShop!$S$6</definedName>
    <definedName name="CustomerName" localSheetId="2">CustomerDetails!$A$1</definedName>
    <definedName name="CustomerName" localSheetId="0">OnlineClothShop!$S$6</definedName>
    <definedName name="CustomerName">#REF!</definedName>
    <definedName name="gend">#REF!</definedName>
    <definedName name="Gender" localSheetId="2">CustomerDetails!$B$1</definedName>
    <definedName name="Gender" localSheetId="0">OnlineClothShop!$S$7</definedName>
    <definedName name="Gender">#REF!</definedName>
    <definedName name="id">#REF!</definedName>
    <definedName name="name">#REF!</definedName>
    <definedName name="New_City">OnlineClothShop!$R$15</definedName>
    <definedName name="New_CustomerID">OnlineClothShop!$R$5</definedName>
    <definedName name="New_CustomerName">OnlineClothShop!$R$6</definedName>
    <definedName name="New_Gender">OnlineClothShop!$R$7</definedName>
    <definedName name="New_OrderDate">OnlineClothShop!$R$12</definedName>
    <definedName name="New_OrderID">OnlineClothShop!$R$4</definedName>
    <definedName name="New_OrderStatus">OnlineClothShop!$R$16</definedName>
    <definedName name="New_ProductID">OnlineClothShop!$R$8</definedName>
    <definedName name="New_Products">OnlineClothShop!$R$9</definedName>
    <definedName name="New_Profit">OnlineClothShop!$R$14</definedName>
    <definedName name="New_Quantity">OnlineClothShop!$R$13</definedName>
    <definedName name="New_SalePrice">OnlineClothShop!$R$10</definedName>
    <definedName name="New_UnitCost">OnlineClothShop!$R$11</definedName>
    <definedName name="OrderDate" localSheetId="2">CustomerDetails!$E$1</definedName>
    <definedName name="OrderDate" localSheetId="0">OnlineClothShop!$S$12</definedName>
    <definedName name="OrderID" localSheetId="2">CustomerDetails!$C$1</definedName>
    <definedName name="OrderID">OnlineClothShop!$S$4</definedName>
    <definedName name="OrderStatus" localSheetId="2">CustomerDetails!$F$1</definedName>
    <definedName name="OrderStatus" localSheetId="0">OnlineClothShop!$S$16</definedName>
    <definedName name="Outstanding_Order_Check_System">CustomerDetails!$A$12</definedName>
    <definedName name="ProductID" localSheetId="0">OnlineClothShop!$S$8</definedName>
    <definedName name="Products" localSheetId="0">OnlineClothShop!$S$9</definedName>
    <definedName name="Profit" localSheetId="0">OnlineClothShop!$S$14</definedName>
    <definedName name="Quantity" localSheetId="0">OnlineClothShop!$S$13</definedName>
    <definedName name="SalePrice" localSheetId="2">CustomerDetails!$D$1</definedName>
    <definedName name="SalePrice" localSheetId="0">OnlineClothShop!$S$10</definedName>
    <definedName name="UnitCost" localSheetId="0">OnlineClothShop!$S$11</definedName>
  </definedNames>
  <calcPr calcId="0"/>
  <pivotCaches>
    <pivotCache cacheId="0" r:id="rId4"/>
  </pivotCaches>
</workbook>
</file>

<file path=xl/sharedStrings.xml><?xml version="1.0" encoding="utf-8"?>
<sst xmlns="http://schemas.openxmlformats.org/spreadsheetml/2006/main" count="390" uniqueCount="161">
  <si>
    <t>Business Analysis Management</t>
  </si>
  <si>
    <t>OrderID</t>
  </si>
  <si>
    <t>CustomerID</t>
  </si>
  <si>
    <t>CustomerName</t>
  </si>
  <si>
    <t>Gender</t>
  </si>
  <si>
    <t>ProductID</t>
  </si>
  <si>
    <t>Products</t>
  </si>
  <si>
    <t>SalePrice</t>
  </si>
  <si>
    <t>UnitCost</t>
  </si>
  <si>
    <t>OrderDate</t>
  </si>
  <si>
    <t>Quantity</t>
  </si>
  <si>
    <t>Profit</t>
  </si>
  <si>
    <t>City</t>
  </si>
  <si>
    <t>OrderStatus</t>
  </si>
  <si>
    <t>A18164178225</t>
  </si>
  <si>
    <t>M-18100</t>
  </si>
  <si>
    <t>Mary</t>
  </si>
  <si>
    <t>Female</t>
  </si>
  <si>
    <t>C-PH-10002075</t>
  </si>
  <si>
    <t>Coat</t>
  </si>
  <si>
    <t>Manchester</t>
  </si>
  <si>
    <t>Delivered</t>
  </si>
  <si>
    <t>A18177226992</t>
  </si>
  <si>
    <t>A-12940</t>
  </si>
  <si>
    <t>April</t>
  </si>
  <si>
    <t>C-TA-10003715</t>
  </si>
  <si>
    <t>Edinburgh</t>
  </si>
  <si>
    <t>A18178033846</t>
  </si>
  <si>
    <t>A-20785</t>
  </si>
  <si>
    <t>Andy</t>
  </si>
  <si>
    <t>Male</t>
  </si>
  <si>
    <t>T-BI-10001597</t>
  </si>
  <si>
    <t>Tshirt</t>
  </si>
  <si>
    <t>London</t>
  </si>
  <si>
    <t>A18178045259</t>
  </si>
  <si>
    <t>L-14275</t>
  </si>
  <si>
    <t>Leo</t>
  </si>
  <si>
    <t>H-PA-10000176</t>
  </si>
  <si>
    <t>Hoodie</t>
  </si>
  <si>
    <t>York</t>
  </si>
  <si>
    <t>A18178129035</t>
  </si>
  <si>
    <t>J-20785</t>
  </si>
  <si>
    <t>July</t>
  </si>
  <si>
    <t>T-BI-10000343</t>
  </si>
  <si>
    <t>A18178206572</t>
  </si>
  <si>
    <t>NA-FA-10000611</t>
  </si>
  <si>
    <t>NewArrivals</t>
  </si>
  <si>
    <t>A18190290933</t>
  </si>
  <si>
    <t>S-14275</t>
  </si>
  <si>
    <t>Stephen</t>
  </si>
  <si>
    <t>J-PA-10004733</t>
  </si>
  <si>
    <t>Jeans</t>
  </si>
  <si>
    <t>Liverpool</t>
  </si>
  <si>
    <t>A18250630014</t>
  </si>
  <si>
    <t>H-14275</t>
  </si>
  <si>
    <t>Helen</t>
  </si>
  <si>
    <t>NA-PA-10001471</t>
  </si>
  <si>
    <t>A18422797881</t>
  </si>
  <si>
    <t>T-CH-10002602</t>
  </si>
  <si>
    <t>A18934397934</t>
  </si>
  <si>
    <t>C-AR-10001868</t>
  </si>
  <si>
    <t>A18934597093</t>
  </si>
  <si>
    <t>M-17920</t>
  </si>
  <si>
    <t>Max</t>
  </si>
  <si>
    <t>J-EN-10000056</t>
  </si>
  <si>
    <t>A18980833277</t>
  </si>
  <si>
    <t>M-21025</t>
  </si>
  <si>
    <t>Melinda</t>
  </si>
  <si>
    <t>T-AC-10000474</t>
  </si>
  <si>
    <t>Leeds</t>
  </si>
  <si>
    <t>A18981009694</t>
  </si>
  <si>
    <t>S-FU-10002268</t>
  </si>
  <si>
    <t>Shirt</t>
  </si>
  <si>
    <t>A18997821811</t>
  </si>
  <si>
    <t>V-10555</t>
  </si>
  <si>
    <t>Vincent</t>
  </si>
  <si>
    <t>D-AC-10001314</t>
  </si>
  <si>
    <t>Dress</t>
  </si>
  <si>
    <t>Shipped</t>
  </si>
  <si>
    <t>A18997825320</t>
  </si>
  <si>
    <t>I-11230</t>
  </si>
  <si>
    <t>Iris</t>
  </si>
  <si>
    <t>T-AR-10000380</t>
  </si>
  <si>
    <t>A19008350212</t>
  </si>
  <si>
    <t>T-LA-10003930</t>
  </si>
  <si>
    <t>A19009618209</t>
  </si>
  <si>
    <t>NA-PA-10001815</t>
  </si>
  <si>
    <t>A19371494116</t>
  </si>
  <si>
    <t>C-12250</t>
  </si>
  <si>
    <t>Cici</t>
  </si>
  <si>
    <t>T-PA-10004082</t>
  </si>
  <si>
    <t>A19504102657</t>
  </si>
  <si>
    <t>J-LA-10001982</t>
  </si>
  <si>
    <t>A19757777516</t>
  </si>
  <si>
    <t>H-PH-10004922</t>
  </si>
  <si>
    <t>A20173231724</t>
  </si>
  <si>
    <t>NA-PH-10003273</t>
  </si>
  <si>
    <t>A20173935321</t>
  </si>
  <si>
    <t>T-AR-10004511</t>
  </si>
  <si>
    <t>Pending</t>
  </si>
  <si>
    <t>A20192747878</t>
  </si>
  <si>
    <t>D-AC-10001490</t>
  </si>
  <si>
    <t>A20288779393</t>
  </si>
  <si>
    <t>J-PH-10001425</t>
  </si>
  <si>
    <t>A20553423924</t>
  </si>
  <si>
    <t>B-21370</t>
  </si>
  <si>
    <t>Bruce</t>
  </si>
  <si>
    <t>NA-TA-10004607</t>
  </si>
  <si>
    <t>A21301819561</t>
  </si>
  <si>
    <t>C-21370</t>
  </si>
  <si>
    <t>Christina</t>
  </si>
  <si>
    <t>T-AR-10001022</t>
  </si>
  <si>
    <t>A21625571512</t>
  </si>
  <si>
    <t>T-ST-10003479</t>
  </si>
  <si>
    <t>A22610607247</t>
  </si>
  <si>
    <t>T-21370</t>
  </si>
  <si>
    <t>Tom</t>
  </si>
  <si>
    <t>D-AP-10004249</t>
  </si>
  <si>
    <t>A24543304827</t>
  </si>
  <si>
    <t>C-ST-10004950</t>
  </si>
  <si>
    <t>A24543756285</t>
  </si>
  <si>
    <t>J-PA-10002986</t>
  </si>
  <si>
    <t>A24543820600</t>
  </si>
  <si>
    <t>A-16015</t>
  </si>
  <si>
    <t>Amber</t>
  </si>
  <si>
    <t>T-BI-10003984</t>
  </si>
  <si>
    <t>A24544528901</t>
  </si>
  <si>
    <t>T-ST-10000532</t>
  </si>
  <si>
    <t>A24544728992</t>
  </si>
  <si>
    <t>S-AR-10002257</t>
  </si>
  <si>
    <t>A24572480018</t>
  </si>
  <si>
    <t>NA-FU-10000409</t>
  </si>
  <si>
    <t>A24573368252</t>
  </si>
  <si>
    <t>J-MA-10000029</t>
  </si>
  <si>
    <t>A24573628465</t>
  </si>
  <si>
    <t>NA-FU-10003773</t>
  </si>
  <si>
    <t>A24612192437</t>
  </si>
  <si>
    <t>NA-AR-10004757</t>
  </si>
  <si>
    <t>A24612968810</t>
  </si>
  <si>
    <t>T-BI-10000309</t>
  </si>
  <si>
    <t>A24613052135</t>
  </si>
  <si>
    <t>H-PA-10001363</t>
  </si>
  <si>
    <t>A24723116941</t>
  </si>
  <si>
    <t>B-HA-10001337</t>
  </si>
  <si>
    <t>Blouse</t>
  </si>
  <si>
    <t>New Customer Entry form</t>
  </si>
  <si>
    <t>Sum of SalePrice</t>
  </si>
  <si>
    <t>Date</t>
  </si>
  <si>
    <t>Grand Total</t>
  </si>
  <si>
    <t>Jan</t>
  </si>
  <si>
    <t>Feb</t>
  </si>
  <si>
    <t>Mar</t>
  </si>
  <si>
    <t>Apr</t>
  </si>
  <si>
    <t>May</t>
  </si>
  <si>
    <t>Jun</t>
  </si>
  <si>
    <t>Product</t>
  </si>
  <si>
    <t>A123456789</t>
  </si>
  <si>
    <t>C-12345</t>
  </si>
  <si>
    <t>Cathy</t>
  </si>
  <si>
    <t>D-NY-10002025</t>
  </si>
  <si>
    <t>Outstanding Order Check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</si>
</sst>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£&quot;#,##0.00;\-&quot;£&quot;#,##0.00"/>
    <numFmt numFmtId="164" formatCode="[$£]#,##0.00;&quot;-&quot;[$£]#,##0.00"/>
    <numFmt numFmtId="165" formatCode="&quot;£&quot;#,##0.00"/>
  </numFmts>
  <fonts count="3" x14ac:knownFonts="1"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b/>
      <sz val="16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rgb="FFFFFFFF"/>
        <bgColor rgb="FFFFFFFF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theme="2" tint="-9.9978637043366805E-2"/>
        <bgColor rgb="FFE7E6E6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rgb="FFFFFF00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0" xfId="0" applyFill="1"/>
    <xf numFmtId="164" fontId="0" fillId="3" borderId="0" xfId="0" applyNumberFormat="1" applyFill="1"/>
    <xf numFmtId="14" fontId="0" fillId="3" borderId="0" xfId="0" applyNumberFormat="1" applyFill="1"/>
    <xf numFmtId="0" fontId="0" fillId="4" borderId="2" xfId="0" applyFill="1" applyBorder="1"/>
    <xf numFmtId="0" fontId="0" fillId="5" borderId="2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NumberFormat="1"/>
    <xf numFmtId="0" fontId="0" fillId="0" borderId="0" xfId="0" pivotButton="1"/>
    <xf numFmtId="0" fontId="0" fillId="7" borderId="0" xfId="0" applyFill="1" applyBorder="1"/>
    <xf numFmtId="49" fontId="0" fillId="7" borderId="0" xfId="0" applyNumberFormat="1" applyFill="1" applyBorder="1" applyAlignment="1">
      <alignment horizontal="right"/>
    </xf>
    <xf numFmtId="0" fontId="0" fillId="8" borderId="0" xfId="0" applyFill="1" applyBorder="1"/>
    <xf numFmtId="0" fontId="0" fillId="2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8" borderId="0" xfId="0" applyFill="1" applyBorder="1" applyAlignment="1">
      <alignment horizontal="right"/>
    </xf>
    <xf numFmtId="14" fontId="0" fillId="8" borderId="0" xfId="0" applyNumberFormat="1" applyFill="1" applyBorder="1" applyAlignment="1">
      <alignment horizontal="right"/>
    </xf>
    <xf numFmtId="165" fontId="0" fillId="8" borderId="0" xfId="0" applyNumberFormat="1" applyFill="1" applyBorder="1" applyAlignment="1">
      <alignment horizontal="right"/>
    </xf>
    <xf numFmtId="7" fontId="0" fillId="3" borderId="0" xfId="0" applyNumberFormat="1" applyFill="1"/>
    <xf numFmtId="0" fontId="0" fillId="10" borderId="6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14" fontId="0" fillId="10" borderId="0" xfId="0" applyNumberFormat="1" applyFill="1" applyAlignment="1">
      <alignment horizontal="center"/>
    </xf>
    <xf numFmtId="7" fontId="0" fillId="3" borderId="4" xfId="0" applyNumberFormat="1" applyFill="1" applyBorder="1"/>
    <xf numFmtId="14" fontId="0" fillId="3" borderId="4" xfId="0" applyNumberFormat="1" applyFill="1" applyBorder="1"/>
    <xf numFmtId="7" fontId="0" fillId="2" borderId="0" xfId="0" applyNumberFormat="1" applyFill="1"/>
    <xf numFmtId="14" fontId="0" fillId="2" borderId="0" xfId="0" applyNumberFormat="1" applyFill="1"/>
    <xf numFmtId="0" fontId="0" fillId="7" borderId="2" xfId="0" applyFill="1" applyBorder="1"/>
    <xf numFmtId="0" fontId="0" fillId="0" borderId="0" xfId="0" applyFill="1"/>
    <xf numFmtId="0" fontId="0" fillId="11" borderId="2" xfId="0" applyFill="1" applyBorder="1"/>
    <xf numFmtId="0" fontId="0" fillId="12" borderId="2" xfId="0" applyFill="1" applyBorder="1"/>
    <xf numFmtId="0" fontId="0" fillId="0" borderId="2" xfId="0" applyFill="1" applyBorder="1"/>
    <xf numFmtId="0" fontId="1" fillId="2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533400</xdr:colOff>
          <xdr:row>3</xdr:row>
          <xdr:rowOff>152400</xdr:rowOff>
        </xdr:from>
        <xdr:to>
          <xdr:col>16</xdr:col>
          <xdr:colOff>133350</xdr:colOff>
          <xdr:row>6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From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542925</xdr:colOff>
          <xdr:row>7</xdr:row>
          <xdr:rowOff>161925</xdr:rowOff>
        </xdr:from>
        <xdr:to>
          <xdr:col>16</xdr:col>
          <xdr:colOff>123825</xdr:colOff>
          <xdr:row>10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OrderStatus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133350</xdr:rowOff>
        </xdr:from>
        <xdr:to>
          <xdr:col>16</xdr:col>
          <xdr:colOff>200025</xdr:colOff>
          <xdr:row>15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Data To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</xdr:row>
          <xdr:rowOff>9525</xdr:rowOff>
        </xdr:from>
        <xdr:to>
          <xdr:col>11</xdr:col>
          <xdr:colOff>257175</xdr:colOff>
          <xdr:row>4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Customers and outstanding orders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Zihan Zhao" refreshedDate="45658.459245949074" createdVersion="6" refreshedVersion="6" recordCount="40" xr:uid="{00000000-000A-0000-FFFF-FFFF00000000}">
  <cacheSource type="worksheet">
    <worksheetSource ref="A3:M43" sheet="OnlineClothShop"/>
  </cacheSource>
  <cacheFields count="14">
    <cacheField name="OrderID" numFmtId="0">
      <sharedItems/>
    </cacheField>
    <cacheField name="CustomerID" numFmtId="0">
      <sharedItems/>
    </cacheField>
    <cacheField name="CustomerName" numFmtId="0">
      <sharedItems/>
    </cacheField>
    <cacheField name="Gender" numFmtId="0">
      <sharedItems/>
    </cacheField>
    <cacheField name="ProductID" numFmtId="0">
      <sharedItems/>
    </cacheField>
    <cacheField name="Products" numFmtId="0">
      <sharedItems count="8">
        <s v="Coat"/>
        <s v="Tshirt"/>
        <s v="Hoodie"/>
        <s v="NewArrivals"/>
        <s v="Jeans"/>
        <s v="Shirt"/>
        <s v="Dress"/>
        <s v="Blouse"/>
      </sharedItems>
    </cacheField>
    <cacheField name="SalePrice" numFmtId="164">
      <sharedItems containsSemiMixedTypes="0" containsString="0" containsNumber="1" minValue="33" maxValue="594"/>
    </cacheField>
    <cacheField name="UnitCost" numFmtId="164">
      <sharedItems containsSemiMixedTypes="0" containsString="0" containsNumber="1" containsInteger="1" minValue="19" maxValue="99"/>
    </cacheField>
    <cacheField name="OrderDate" numFmtId="14">
      <sharedItems containsSemiMixedTypes="0" containsNonDate="0" containsDate="1" containsString="0" minDate="2023-01-02T00:00:00" maxDate="2023-06-30T00:00:00" count="39">
        <d v="2023-01-02T00:00:00"/>
        <d v="2023-01-05T00:00:00"/>
        <d v="2023-04-08T00:00:00"/>
        <d v="2023-01-09T00:00:00"/>
        <d v="2023-02-09T00:00:00"/>
        <d v="2023-01-13T00:00:00"/>
        <d v="2023-05-13T00:00:00"/>
        <d v="2023-02-14T00:00:00"/>
        <d v="2023-01-15T00:00:00"/>
        <d v="2023-01-19T00:00:00"/>
        <d v="2023-04-22T00:00:00"/>
        <d v="2023-02-23T00:00:00"/>
        <d v="2023-01-27T00:00:00"/>
        <d v="2023-03-02T00:00:00"/>
        <d v="2023-02-10T00:00:00"/>
        <d v="2023-06-18T00:00:00"/>
        <d v="2023-02-20T00:00:00"/>
        <d v="2023-05-23T00:00:00"/>
        <d v="2023-04-23T00:00:00"/>
        <d v="2023-06-28T00:00:00"/>
        <d v="2023-02-25T00:00:00"/>
        <d v="2023-05-25T00:00:00"/>
        <d v="2023-02-27T00:00:00"/>
        <d v="2023-06-01T00:00:00"/>
        <d v="2023-03-01T00:00:00"/>
        <d v="2023-05-10T00:00:00"/>
        <d v="2023-03-12T00:00:00"/>
        <d v="2023-05-15T00:00:00"/>
        <d v="2023-05-16T00:00:00"/>
        <d v="2023-03-23T00:00:00"/>
        <d v="2023-06-25T00:00:00"/>
        <d v="2023-04-29T00:00:00"/>
        <d v="2023-06-29T00:00:00"/>
        <d v="2023-03-29T00:00:00"/>
        <d v="2023-03-30T00:00:00"/>
        <d v="2023-03-31T00:00:00"/>
        <d v="2023-06-04T00:00:00"/>
        <d v="2023-04-04T00:00:00"/>
        <d v="2023-03-05T00:00:00"/>
      </sharedItems>
      <fieldGroup par="13" base="8">
        <rangePr groupBy="days" startDate="2023-01-02T00:00:00" endDate="2023-06-30T00:00:00"/>
        <groupItems count="368">
          <s v="&lt;02/01/2023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0/06/2023"/>
        </groupItems>
      </fieldGroup>
    </cacheField>
    <cacheField name="Quantity" numFmtId="0">
      <sharedItems containsSemiMixedTypes="0" containsString="0" containsNumber="1" containsInteger="1" minValue="1" maxValue="6"/>
    </cacheField>
    <cacheField name="Profit" numFmtId="164">
      <sharedItems containsSemiMixedTypes="0" containsString="0" containsNumber="1" minValue="5" maxValue="180"/>
    </cacheField>
    <cacheField name="City" numFmtId="0">
      <sharedItems/>
    </cacheField>
    <cacheField name="OrderStatus" numFmtId="0">
      <sharedItems/>
    </cacheField>
    <cacheField name="Months" numFmtId="0" databaseField="0">
      <fieldGroup base="8">
        <rangePr groupBy="months" startDate="2023-01-02T00:00:00" endDate="2023-06-30T00:00:00"/>
        <groupItems count="14">
          <s v="&lt;02/01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0/06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B08A90-FFAA-40AB-BC97-830E43BD4CD7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ate" colHeaderCaption="Product">
  <location ref="A3:J11" firstHeaderRow="1" firstDataRow="2" firstDataCol="1"/>
  <pivotFields count="14">
    <pivotField showAll="0"/>
    <pivotField showAll="0"/>
    <pivotField showAll="0"/>
    <pivotField showAll="0"/>
    <pivotField showAll="0"/>
    <pivotField axis="axisCol" showAll="0">
      <items count="9">
        <item x="7"/>
        <item x="0"/>
        <item x="6"/>
        <item x="2"/>
        <item x="4"/>
        <item x="3"/>
        <item x="5"/>
        <item x="1"/>
        <item t="default"/>
      </items>
    </pivotField>
    <pivotField dataField="1" numFmtId="164" showAll="0"/>
    <pivotField numFmtId="164"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164"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3"/>
    <field x="8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SalePrice" fld="6" baseField="0" baseItem="0"/>
  </dataFields>
  <pivotTableStyleInfo name="PivotStyleMedium2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S55"/>
  <sheetViews>
    <sheetView tabSelected="1" zoomScale="77" zoomScaleNormal="77" workbookViewId="0">
      <selection activeCell="O12" sqref="O12"/>
    </sheetView>
  </sheetViews>
  <sheetFormatPr defaultRowHeight="15" x14ac:dyDescent="0.25"/>
  <cols>
    <col min="1" max="6" width="15.7109375" style="1" customWidth="1"/>
    <col min="7" max="7" width="8.5703125" style="1" customWidth="1"/>
    <col min="8" max="8" width="9.7109375" style="1" customWidth="1"/>
    <col min="9" max="9" width="12" style="1" customWidth="1"/>
    <col min="10" max="10" width="9.85546875" style="1" customWidth="1"/>
    <col min="11" max="11" width="10" style="1" customWidth="1"/>
    <col min="12" max="12" width="15.7109375" style="1" customWidth="1"/>
    <col min="13" max="13" width="12.7109375" style="1" customWidth="1"/>
    <col min="14" max="14" width="9.140625" style="1" customWidth="1"/>
    <col min="15" max="17" width="9.140625" style="1"/>
    <col min="18" max="18" width="16.28515625" style="1" customWidth="1"/>
    <col min="19" max="19" width="15.5703125" style="19" customWidth="1"/>
    <col min="20" max="16384" width="9.140625" style="1"/>
  </cols>
  <sheetData>
    <row r="2" spans="1:19" ht="23.25" x14ac:dyDescent="0.35">
      <c r="A2" s="38" t="s">
        <v>0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</row>
    <row r="3" spans="1:19" x14ac:dyDescent="0.2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s="34" t="s">
        <v>13</v>
      </c>
      <c r="R3" s="13" t="s">
        <v>145</v>
      </c>
      <c r="S3" s="20"/>
    </row>
    <row r="4" spans="1:19" x14ac:dyDescent="0.25">
      <c r="A4" s="2" t="s">
        <v>14</v>
      </c>
      <c r="B4" s="3" t="s">
        <v>15</v>
      </c>
      <c r="C4" s="3" t="s">
        <v>16</v>
      </c>
      <c r="D4" s="3" t="s">
        <v>17</v>
      </c>
      <c r="E4" s="3" t="s">
        <v>18</v>
      </c>
      <c r="F4" s="3" t="s">
        <v>19</v>
      </c>
      <c r="G4" s="4">
        <v>96</v>
      </c>
      <c r="H4" s="4">
        <v>78</v>
      </c>
      <c r="I4" s="5">
        <v>44928</v>
      </c>
      <c r="J4" s="3">
        <v>1</v>
      </c>
      <c r="K4" s="4">
        <v>18</v>
      </c>
      <c r="L4" s="3" t="s">
        <v>20</v>
      </c>
      <c r="M4" s="35" t="s">
        <v>21</v>
      </c>
      <c r="R4" s="16" t="s">
        <v>1</v>
      </c>
      <c r="S4" s="17" t="s">
        <v>156</v>
      </c>
    </row>
    <row r="5" spans="1:19" x14ac:dyDescent="0.25">
      <c r="A5" s="2" t="s">
        <v>22</v>
      </c>
      <c r="B5" s="3" t="s">
        <v>23</v>
      </c>
      <c r="C5" s="3" t="s">
        <v>24</v>
      </c>
      <c r="D5" s="3" t="s">
        <v>17</v>
      </c>
      <c r="E5" s="3" t="s">
        <v>25</v>
      </c>
      <c r="F5" s="3" t="s">
        <v>19</v>
      </c>
      <c r="G5" s="4">
        <v>87</v>
      </c>
      <c r="H5" s="4">
        <v>68</v>
      </c>
      <c r="I5" s="5">
        <v>44931</v>
      </c>
      <c r="J5" s="3">
        <v>1</v>
      </c>
      <c r="K5" s="4">
        <v>19</v>
      </c>
      <c r="L5" s="3" t="s">
        <v>26</v>
      </c>
      <c r="M5" s="6" t="s">
        <v>21</v>
      </c>
      <c r="R5" s="16" t="s">
        <v>2</v>
      </c>
      <c r="S5" s="17" t="s">
        <v>157</v>
      </c>
    </row>
    <row r="6" spans="1:19" x14ac:dyDescent="0.25">
      <c r="A6" s="2" t="s">
        <v>27</v>
      </c>
      <c r="B6" s="3" t="s">
        <v>28</v>
      </c>
      <c r="C6" s="3" t="s">
        <v>29</v>
      </c>
      <c r="D6" s="3" t="s">
        <v>30</v>
      </c>
      <c r="E6" s="3" t="s">
        <v>31</v>
      </c>
      <c r="F6" s="3" t="s">
        <v>32</v>
      </c>
      <c r="G6" s="4">
        <v>79</v>
      </c>
      <c r="H6" s="4">
        <v>49</v>
      </c>
      <c r="I6" s="5">
        <v>45024</v>
      </c>
      <c r="J6" s="3">
        <v>1</v>
      </c>
      <c r="K6" s="4">
        <v>30</v>
      </c>
      <c r="L6" s="3" t="s">
        <v>33</v>
      </c>
      <c r="M6" s="6" t="s">
        <v>21</v>
      </c>
      <c r="R6" s="16" t="s">
        <v>3</v>
      </c>
      <c r="S6" s="17" t="s">
        <v>158</v>
      </c>
    </row>
    <row r="7" spans="1:19" x14ac:dyDescent="0.25">
      <c r="A7" s="2" t="s">
        <v>34</v>
      </c>
      <c r="B7" s="3" t="s">
        <v>35</v>
      </c>
      <c r="C7" s="3" t="s">
        <v>36</v>
      </c>
      <c r="D7" s="3" t="s">
        <v>30</v>
      </c>
      <c r="E7" s="3" t="s">
        <v>37</v>
      </c>
      <c r="F7" s="3" t="s">
        <v>38</v>
      </c>
      <c r="G7" s="4">
        <v>99</v>
      </c>
      <c r="H7" s="4">
        <v>59</v>
      </c>
      <c r="I7" s="5">
        <v>44935</v>
      </c>
      <c r="J7" s="3">
        <v>1</v>
      </c>
      <c r="K7" s="4">
        <v>40</v>
      </c>
      <c r="L7" s="3" t="s">
        <v>39</v>
      </c>
      <c r="M7" s="6" t="s">
        <v>21</v>
      </c>
      <c r="R7" s="18" t="s">
        <v>4</v>
      </c>
      <c r="S7" s="21" t="s">
        <v>17</v>
      </c>
    </row>
    <row r="8" spans="1:19" x14ac:dyDescent="0.25">
      <c r="A8" s="2" t="s">
        <v>40</v>
      </c>
      <c r="B8" s="3" t="s">
        <v>41</v>
      </c>
      <c r="C8" s="3" t="s">
        <v>42</v>
      </c>
      <c r="D8" s="3" t="s">
        <v>17</v>
      </c>
      <c r="E8" s="3" t="s">
        <v>43</v>
      </c>
      <c r="F8" s="3" t="s">
        <v>32</v>
      </c>
      <c r="G8" s="4">
        <v>79</v>
      </c>
      <c r="H8" s="4">
        <v>49</v>
      </c>
      <c r="I8" s="5">
        <v>44966</v>
      </c>
      <c r="J8" s="3">
        <v>1</v>
      </c>
      <c r="K8" s="4">
        <v>30</v>
      </c>
      <c r="L8" s="3" t="s">
        <v>20</v>
      </c>
      <c r="M8" s="6" t="s">
        <v>21</v>
      </c>
      <c r="R8" s="18" t="s">
        <v>5</v>
      </c>
      <c r="S8" s="21" t="s">
        <v>159</v>
      </c>
    </row>
    <row r="9" spans="1:19" x14ac:dyDescent="0.25">
      <c r="A9" s="2" t="s">
        <v>44</v>
      </c>
      <c r="B9" s="3" t="s">
        <v>35</v>
      </c>
      <c r="C9" s="3" t="s">
        <v>36</v>
      </c>
      <c r="D9" s="3" t="s">
        <v>30</v>
      </c>
      <c r="E9" s="3" t="s">
        <v>45</v>
      </c>
      <c r="F9" s="3" t="s">
        <v>46</v>
      </c>
      <c r="G9" s="4">
        <v>199</v>
      </c>
      <c r="H9" s="4">
        <v>99</v>
      </c>
      <c r="I9" s="5">
        <v>44939</v>
      </c>
      <c r="J9" s="3">
        <v>1</v>
      </c>
      <c r="K9" s="4">
        <v>100</v>
      </c>
      <c r="L9" s="3" t="s">
        <v>39</v>
      </c>
      <c r="M9" s="6" t="s">
        <v>21</v>
      </c>
      <c r="R9" s="18" t="s">
        <v>6</v>
      </c>
      <c r="S9" s="21" t="s">
        <v>77</v>
      </c>
    </row>
    <row r="10" spans="1:19" x14ac:dyDescent="0.25">
      <c r="A10" s="2" t="s">
        <v>47</v>
      </c>
      <c r="B10" s="3" t="s">
        <v>48</v>
      </c>
      <c r="C10" s="3" t="s">
        <v>49</v>
      </c>
      <c r="D10" s="3" t="s">
        <v>30</v>
      </c>
      <c r="E10" s="3" t="s">
        <v>50</v>
      </c>
      <c r="F10" s="3" t="s">
        <v>51</v>
      </c>
      <c r="G10" s="4">
        <v>199</v>
      </c>
      <c r="H10" s="4">
        <v>89</v>
      </c>
      <c r="I10" s="5">
        <v>45059</v>
      </c>
      <c r="J10" s="3">
        <v>1</v>
      </c>
      <c r="K10" s="4">
        <v>110</v>
      </c>
      <c r="L10" s="3" t="s">
        <v>52</v>
      </c>
      <c r="M10" s="6" t="s">
        <v>21</v>
      </c>
      <c r="R10" s="18" t="s">
        <v>7</v>
      </c>
      <c r="S10" s="23">
        <v>52</v>
      </c>
    </row>
    <row r="11" spans="1:19" x14ac:dyDescent="0.25">
      <c r="A11" s="2" t="s">
        <v>53</v>
      </c>
      <c r="B11" s="3" t="s">
        <v>54</v>
      </c>
      <c r="C11" s="3" t="s">
        <v>55</v>
      </c>
      <c r="D11" s="3" t="s">
        <v>17</v>
      </c>
      <c r="E11" s="3" t="s">
        <v>56</v>
      </c>
      <c r="F11" s="3" t="s">
        <v>46</v>
      </c>
      <c r="G11" s="4">
        <v>72</v>
      </c>
      <c r="H11" s="4">
        <v>45</v>
      </c>
      <c r="I11" s="5">
        <v>44971</v>
      </c>
      <c r="J11" s="3">
        <v>1</v>
      </c>
      <c r="K11" s="4">
        <v>27</v>
      </c>
      <c r="L11" s="3" t="s">
        <v>33</v>
      </c>
      <c r="M11" s="6" t="s">
        <v>21</v>
      </c>
      <c r="R11" s="18" t="s">
        <v>8</v>
      </c>
      <c r="S11" s="23">
        <v>26</v>
      </c>
    </row>
    <row r="12" spans="1:19" x14ac:dyDescent="0.25">
      <c r="A12" s="2" t="s">
        <v>57</v>
      </c>
      <c r="B12" s="3" t="s">
        <v>23</v>
      </c>
      <c r="C12" s="3" t="s">
        <v>24</v>
      </c>
      <c r="D12" s="3" t="s">
        <v>17</v>
      </c>
      <c r="E12" s="3" t="s">
        <v>58</v>
      </c>
      <c r="F12" s="3" t="s">
        <v>32</v>
      </c>
      <c r="G12" s="4">
        <v>79</v>
      </c>
      <c r="H12" s="4">
        <v>59</v>
      </c>
      <c r="I12" s="5">
        <v>44941</v>
      </c>
      <c r="J12" s="3">
        <v>1</v>
      </c>
      <c r="K12" s="4">
        <v>20</v>
      </c>
      <c r="L12" s="3" t="s">
        <v>26</v>
      </c>
      <c r="M12" s="6" t="s">
        <v>21</v>
      </c>
      <c r="R12" s="18" t="s">
        <v>9</v>
      </c>
      <c r="S12" s="22">
        <v>45105</v>
      </c>
    </row>
    <row r="13" spans="1:19" x14ac:dyDescent="0.25">
      <c r="A13" s="2" t="s">
        <v>59</v>
      </c>
      <c r="B13" s="3" t="s">
        <v>15</v>
      </c>
      <c r="C13" s="3" t="s">
        <v>16</v>
      </c>
      <c r="D13" s="3" t="s">
        <v>17</v>
      </c>
      <c r="E13" s="3" t="s">
        <v>60</v>
      </c>
      <c r="F13" s="3" t="s">
        <v>19</v>
      </c>
      <c r="G13" s="4">
        <v>79</v>
      </c>
      <c r="H13" s="4">
        <v>49</v>
      </c>
      <c r="I13" s="5">
        <v>44945</v>
      </c>
      <c r="J13" s="3">
        <v>1</v>
      </c>
      <c r="K13" s="4">
        <v>30</v>
      </c>
      <c r="L13" s="3" t="s">
        <v>39</v>
      </c>
      <c r="M13" s="6" t="s">
        <v>21</v>
      </c>
      <c r="R13" s="18" t="s">
        <v>10</v>
      </c>
      <c r="S13" s="21">
        <v>1</v>
      </c>
    </row>
    <row r="14" spans="1:19" x14ac:dyDescent="0.25">
      <c r="A14" s="2" t="s">
        <v>61</v>
      </c>
      <c r="B14" s="3" t="s">
        <v>62</v>
      </c>
      <c r="C14" s="3" t="s">
        <v>63</v>
      </c>
      <c r="D14" s="3" t="s">
        <v>30</v>
      </c>
      <c r="E14" s="3" t="s">
        <v>64</v>
      </c>
      <c r="F14" s="3" t="s">
        <v>51</v>
      </c>
      <c r="G14" s="4">
        <v>39</v>
      </c>
      <c r="H14" s="4">
        <v>20</v>
      </c>
      <c r="I14" s="5">
        <v>45038</v>
      </c>
      <c r="J14" s="3">
        <v>1</v>
      </c>
      <c r="K14" s="4">
        <v>19</v>
      </c>
      <c r="L14" s="3" t="s">
        <v>20</v>
      </c>
      <c r="M14" s="6" t="s">
        <v>21</v>
      </c>
      <c r="R14" s="18" t="s">
        <v>11</v>
      </c>
      <c r="S14" s="23">
        <v>26</v>
      </c>
    </row>
    <row r="15" spans="1:19" x14ac:dyDescent="0.25">
      <c r="A15" s="2" t="s">
        <v>65</v>
      </c>
      <c r="B15" s="3" t="s">
        <v>66</v>
      </c>
      <c r="C15" s="3" t="s">
        <v>67</v>
      </c>
      <c r="D15" s="3" t="s">
        <v>17</v>
      </c>
      <c r="E15" s="3" t="s">
        <v>68</v>
      </c>
      <c r="F15" s="3" t="s">
        <v>32</v>
      </c>
      <c r="G15" s="4">
        <v>297</v>
      </c>
      <c r="H15" s="4">
        <v>56</v>
      </c>
      <c r="I15" s="5">
        <v>44980</v>
      </c>
      <c r="J15" s="3">
        <v>4</v>
      </c>
      <c r="K15" s="4">
        <v>73</v>
      </c>
      <c r="L15" s="3" t="s">
        <v>69</v>
      </c>
      <c r="M15" s="6" t="s">
        <v>21</v>
      </c>
      <c r="R15" s="18" t="s">
        <v>12</v>
      </c>
      <c r="S15" s="21" t="s">
        <v>33</v>
      </c>
    </row>
    <row r="16" spans="1:19" x14ac:dyDescent="0.25">
      <c r="A16" s="2" t="s">
        <v>70</v>
      </c>
      <c r="B16" s="3" t="s">
        <v>28</v>
      </c>
      <c r="C16" s="3" t="s">
        <v>29</v>
      </c>
      <c r="D16" s="3" t="s">
        <v>30</v>
      </c>
      <c r="E16" s="3" t="s">
        <v>71</v>
      </c>
      <c r="F16" s="3" t="s">
        <v>72</v>
      </c>
      <c r="G16" s="4">
        <v>40</v>
      </c>
      <c r="H16" s="4">
        <v>19</v>
      </c>
      <c r="I16" s="5">
        <v>44953</v>
      </c>
      <c r="J16" s="3">
        <v>1</v>
      </c>
      <c r="K16" s="4">
        <v>21</v>
      </c>
      <c r="L16" s="3" t="s">
        <v>33</v>
      </c>
      <c r="M16" s="6" t="s">
        <v>21</v>
      </c>
      <c r="R16" s="18" t="s">
        <v>13</v>
      </c>
      <c r="S16" s="21" t="s">
        <v>99</v>
      </c>
    </row>
    <row r="17" spans="1:13" x14ac:dyDescent="0.25">
      <c r="A17" s="2" t="s">
        <v>73</v>
      </c>
      <c r="B17" s="3" t="s">
        <v>74</v>
      </c>
      <c r="C17" s="3" t="s">
        <v>75</v>
      </c>
      <c r="D17" s="3" t="s">
        <v>30</v>
      </c>
      <c r="E17" s="3" t="s">
        <v>76</v>
      </c>
      <c r="F17" s="3" t="s">
        <v>77</v>
      </c>
      <c r="G17" s="4">
        <v>249</v>
      </c>
      <c r="H17" s="4">
        <v>49</v>
      </c>
      <c r="I17" s="5">
        <v>44987</v>
      </c>
      <c r="J17" s="3">
        <v>2</v>
      </c>
      <c r="K17" s="4">
        <v>151</v>
      </c>
      <c r="L17" s="3" t="s">
        <v>20</v>
      </c>
      <c r="M17" s="7" t="s">
        <v>78</v>
      </c>
    </row>
    <row r="18" spans="1:13" x14ac:dyDescent="0.25">
      <c r="A18" s="2" t="s">
        <v>79</v>
      </c>
      <c r="B18" s="3" t="s">
        <v>80</v>
      </c>
      <c r="C18" s="3" t="s">
        <v>81</v>
      </c>
      <c r="D18" s="3" t="s">
        <v>17</v>
      </c>
      <c r="E18" s="3" t="s">
        <v>82</v>
      </c>
      <c r="F18" s="3" t="s">
        <v>32</v>
      </c>
      <c r="G18" s="4">
        <v>115.16</v>
      </c>
      <c r="H18" s="4">
        <v>49</v>
      </c>
      <c r="I18" s="5">
        <v>44967</v>
      </c>
      <c r="J18" s="3">
        <v>2</v>
      </c>
      <c r="K18" s="4">
        <v>17.16</v>
      </c>
      <c r="L18" s="3" t="s">
        <v>20</v>
      </c>
      <c r="M18" s="7" t="s">
        <v>78</v>
      </c>
    </row>
    <row r="19" spans="1:13" x14ac:dyDescent="0.25">
      <c r="A19" s="2" t="s">
        <v>83</v>
      </c>
      <c r="B19" s="3" t="s">
        <v>62</v>
      </c>
      <c r="C19" s="3" t="s">
        <v>63</v>
      </c>
      <c r="D19" s="3" t="s">
        <v>30</v>
      </c>
      <c r="E19" s="3" t="s">
        <v>84</v>
      </c>
      <c r="F19" s="3" t="s">
        <v>32</v>
      </c>
      <c r="G19" s="4">
        <v>158</v>
      </c>
      <c r="H19" s="4">
        <v>57</v>
      </c>
      <c r="I19" s="5">
        <v>45095</v>
      </c>
      <c r="J19" s="3">
        <v>2</v>
      </c>
      <c r="K19" s="4">
        <v>44</v>
      </c>
      <c r="L19" s="3" t="s">
        <v>20</v>
      </c>
      <c r="M19" s="7" t="s">
        <v>78</v>
      </c>
    </row>
    <row r="20" spans="1:13" x14ac:dyDescent="0.25">
      <c r="A20" s="2" t="s">
        <v>85</v>
      </c>
      <c r="B20" s="3" t="s">
        <v>15</v>
      </c>
      <c r="C20" s="3" t="s">
        <v>16</v>
      </c>
      <c r="D20" s="3" t="s">
        <v>17</v>
      </c>
      <c r="E20" s="3" t="s">
        <v>86</v>
      </c>
      <c r="F20" s="3" t="s">
        <v>46</v>
      </c>
      <c r="G20" s="4">
        <v>79</v>
      </c>
      <c r="H20" s="4">
        <v>49</v>
      </c>
      <c r="I20" s="5">
        <v>44977</v>
      </c>
      <c r="J20" s="3">
        <v>1</v>
      </c>
      <c r="K20" s="4">
        <v>30</v>
      </c>
      <c r="L20" s="3" t="s">
        <v>39</v>
      </c>
      <c r="M20" s="6" t="s">
        <v>21</v>
      </c>
    </row>
    <row r="21" spans="1:13" x14ac:dyDescent="0.25">
      <c r="A21" s="2" t="s">
        <v>87</v>
      </c>
      <c r="B21" s="3" t="s">
        <v>88</v>
      </c>
      <c r="C21" s="3" t="s">
        <v>89</v>
      </c>
      <c r="D21" s="3" t="s">
        <v>17</v>
      </c>
      <c r="E21" s="3" t="s">
        <v>90</v>
      </c>
      <c r="F21" s="3" t="s">
        <v>32</v>
      </c>
      <c r="G21" s="4">
        <v>79</v>
      </c>
      <c r="H21" s="4">
        <v>49</v>
      </c>
      <c r="I21" s="5">
        <v>45069</v>
      </c>
      <c r="J21" s="3">
        <v>1</v>
      </c>
      <c r="K21" s="4">
        <v>30</v>
      </c>
      <c r="L21" s="3" t="s">
        <v>26</v>
      </c>
      <c r="M21" s="6" t="s">
        <v>21</v>
      </c>
    </row>
    <row r="22" spans="1:13" x14ac:dyDescent="0.25">
      <c r="A22" s="2" t="s">
        <v>91</v>
      </c>
      <c r="B22" s="3" t="s">
        <v>41</v>
      </c>
      <c r="C22" s="3" t="s">
        <v>42</v>
      </c>
      <c r="D22" s="3" t="s">
        <v>17</v>
      </c>
      <c r="E22" s="3" t="s">
        <v>92</v>
      </c>
      <c r="F22" s="3" t="s">
        <v>51</v>
      </c>
      <c r="G22" s="4">
        <v>176</v>
      </c>
      <c r="H22" s="4">
        <v>68</v>
      </c>
      <c r="I22" s="5">
        <v>45039</v>
      </c>
      <c r="J22" s="3">
        <v>2</v>
      </c>
      <c r="K22" s="4">
        <v>40</v>
      </c>
      <c r="L22" s="3" t="s">
        <v>20</v>
      </c>
      <c r="M22" s="7" t="s">
        <v>78</v>
      </c>
    </row>
    <row r="23" spans="1:13" x14ac:dyDescent="0.25">
      <c r="A23" s="2" t="s">
        <v>93</v>
      </c>
      <c r="B23" s="3" t="s">
        <v>35</v>
      </c>
      <c r="C23" s="3" t="s">
        <v>36</v>
      </c>
      <c r="D23" s="3" t="s">
        <v>30</v>
      </c>
      <c r="E23" s="3" t="s">
        <v>94</v>
      </c>
      <c r="F23" s="3" t="s">
        <v>38</v>
      </c>
      <c r="G23" s="4">
        <v>198</v>
      </c>
      <c r="H23" s="4">
        <v>60</v>
      </c>
      <c r="I23" s="5">
        <v>45105</v>
      </c>
      <c r="J23" s="3">
        <v>2</v>
      </c>
      <c r="K23" s="4">
        <v>78</v>
      </c>
      <c r="L23" s="3" t="s">
        <v>39</v>
      </c>
      <c r="M23" s="7" t="s">
        <v>78</v>
      </c>
    </row>
    <row r="24" spans="1:13" x14ac:dyDescent="0.25">
      <c r="A24" s="2" t="s">
        <v>95</v>
      </c>
      <c r="B24" s="3" t="s">
        <v>15</v>
      </c>
      <c r="C24" s="3" t="s">
        <v>16</v>
      </c>
      <c r="D24" s="3" t="s">
        <v>17</v>
      </c>
      <c r="E24" s="3" t="s">
        <v>96</v>
      </c>
      <c r="F24" s="3" t="s">
        <v>46</v>
      </c>
      <c r="G24" s="4">
        <v>33</v>
      </c>
      <c r="H24" s="4">
        <v>19</v>
      </c>
      <c r="I24" s="5">
        <v>44982</v>
      </c>
      <c r="J24" s="3">
        <v>1</v>
      </c>
      <c r="K24" s="4">
        <v>14</v>
      </c>
      <c r="L24" s="3" t="s">
        <v>39</v>
      </c>
      <c r="M24" s="6" t="s">
        <v>21</v>
      </c>
    </row>
    <row r="25" spans="1:13" x14ac:dyDescent="0.25">
      <c r="A25" s="2" t="s">
        <v>97</v>
      </c>
      <c r="B25" s="3" t="s">
        <v>88</v>
      </c>
      <c r="C25" s="3" t="s">
        <v>89</v>
      </c>
      <c r="D25" s="3" t="s">
        <v>17</v>
      </c>
      <c r="E25" s="3" t="s">
        <v>98</v>
      </c>
      <c r="F25" s="3" t="s">
        <v>32</v>
      </c>
      <c r="G25" s="4">
        <v>99</v>
      </c>
      <c r="H25" s="4">
        <v>29</v>
      </c>
      <c r="I25" s="5">
        <v>45071</v>
      </c>
      <c r="J25" s="3">
        <v>2</v>
      </c>
      <c r="K25" s="4">
        <v>41</v>
      </c>
      <c r="L25" s="3" t="s">
        <v>26</v>
      </c>
      <c r="M25" s="36" t="s">
        <v>99</v>
      </c>
    </row>
    <row r="26" spans="1:13" x14ac:dyDescent="0.25">
      <c r="A26" s="2" t="s">
        <v>100</v>
      </c>
      <c r="B26" s="3" t="s">
        <v>54</v>
      </c>
      <c r="C26" s="3" t="s">
        <v>55</v>
      </c>
      <c r="D26" s="3" t="s">
        <v>17</v>
      </c>
      <c r="E26" s="3" t="s">
        <v>101</v>
      </c>
      <c r="F26" s="3" t="s">
        <v>77</v>
      </c>
      <c r="G26" s="4">
        <v>89</v>
      </c>
      <c r="H26" s="4">
        <v>49</v>
      </c>
      <c r="I26" s="5">
        <v>44984</v>
      </c>
      <c r="J26" s="3">
        <v>1</v>
      </c>
      <c r="K26" s="4">
        <v>40</v>
      </c>
      <c r="L26" s="3" t="s">
        <v>33</v>
      </c>
      <c r="M26" s="6" t="s">
        <v>21</v>
      </c>
    </row>
    <row r="27" spans="1:13" x14ac:dyDescent="0.25">
      <c r="A27" s="2" t="s">
        <v>102</v>
      </c>
      <c r="B27" s="3" t="s">
        <v>28</v>
      </c>
      <c r="C27" s="3" t="s">
        <v>29</v>
      </c>
      <c r="D27" s="3" t="s">
        <v>30</v>
      </c>
      <c r="E27" s="3" t="s">
        <v>103</v>
      </c>
      <c r="F27" s="3" t="s">
        <v>51</v>
      </c>
      <c r="G27" s="4">
        <v>149</v>
      </c>
      <c r="H27" s="4">
        <v>29</v>
      </c>
      <c r="I27" s="5">
        <v>45078</v>
      </c>
      <c r="J27" s="3">
        <v>1</v>
      </c>
      <c r="K27" s="4">
        <v>120</v>
      </c>
      <c r="L27" s="3" t="s">
        <v>33</v>
      </c>
      <c r="M27" s="6" t="s">
        <v>21</v>
      </c>
    </row>
    <row r="28" spans="1:13" x14ac:dyDescent="0.25">
      <c r="A28" s="2" t="s">
        <v>104</v>
      </c>
      <c r="B28" s="3" t="s">
        <v>105</v>
      </c>
      <c r="C28" s="3" t="s">
        <v>106</v>
      </c>
      <c r="D28" s="3" t="s">
        <v>30</v>
      </c>
      <c r="E28" s="3" t="s">
        <v>107</v>
      </c>
      <c r="F28" s="3" t="s">
        <v>46</v>
      </c>
      <c r="G28" s="4">
        <v>79</v>
      </c>
      <c r="H28" s="4">
        <v>59</v>
      </c>
      <c r="I28" s="5">
        <v>44986</v>
      </c>
      <c r="J28" s="3">
        <v>1</v>
      </c>
      <c r="K28" s="4">
        <v>20</v>
      </c>
      <c r="L28" s="3" t="s">
        <v>33</v>
      </c>
      <c r="M28" s="6" t="s">
        <v>21</v>
      </c>
    </row>
    <row r="29" spans="1:13" x14ac:dyDescent="0.25">
      <c r="A29" s="2" t="s">
        <v>108</v>
      </c>
      <c r="B29" s="3" t="s">
        <v>109</v>
      </c>
      <c r="C29" s="3" t="s">
        <v>110</v>
      </c>
      <c r="D29" s="3" t="s">
        <v>17</v>
      </c>
      <c r="E29" s="3" t="s">
        <v>111</v>
      </c>
      <c r="F29" s="3" t="s">
        <v>32</v>
      </c>
      <c r="G29" s="4">
        <v>79</v>
      </c>
      <c r="H29" s="4">
        <v>49</v>
      </c>
      <c r="I29" s="5">
        <v>45056</v>
      </c>
      <c r="J29" s="3">
        <v>1</v>
      </c>
      <c r="K29" s="4">
        <v>30</v>
      </c>
      <c r="L29" s="3" t="s">
        <v>33</v>
      </c>
      <c r="M29" s="6" t="s">
        <v>21</v>
      </c>
    </row>
    <row r="30" spans="1:13" x14ac:dyDescent="0.25">
      <c r="A30" s="2" t="s">
        <v>112</v>
      </c>
      <c r="B30" s="3" t="s">
        <v>35</v>
      </c>
      <c r="C30" s="3" t="s">
        <v>36</v>
      </c>
      <c r="D30" s="3" t="s">
        <v>30</v>
      </c>
      <c r="E30" s="3" t="s">
        <v>113</v>
      </c>
      <c r="F30" s="3" t="s">
        <v>32</v>
      </c>
      <c r="G30" s="4">
        <v>594</v>
      </c>
      <c r="H30" s="4">
        <v>69</v>
      </c>
      <c r="I30" s="5">
        <v>44997</v>
      </c>
      <c r="J30" s="3">
        <v>6</v>
      </c>
      <c r="K30" s="4">
        <v>180</v>
      </c>
      <c r="L30" s="3" t="s">
        <v>39</v>
      </c>
      <c r="M30" s="7" t="s">
        <v>78</v>
      </c>
    </row>
    <row r="31" spans="1:13" x14ac:dyDescent="0.25">
      <c r="A31" s="2" t="s">
        <v>114</v>
      </c>
      <c r="B31" s="3" t="s">
        <v>115</v>
      </c>
      <c r="C31" s="3" t="s">
        <v>116</v>
      </c>
      <c r="D31" s="3" t="s">
        <v>30</v>
      </c>
      <c r="E31" s="3" t="s">
        <v>117</v>
      </c>
      <c r="F31" s="3" t="s">
        <v>77</v>
      </c>
      <c r="G31" s="4">
        <v>66.34</v>
      </c>
      <c r="H31" s="4">
        <v>19</v>
      </c>
      <c r="I31" s="5">
        <v>45061</v>
      </c>
      <c r="J31" s="3">
        <v>2</v>
      </c>
      <c r="K31" s="4">
        <v>28.34</v>
      </c>
      <c r="L31" s="3" t="s">
        <v>20</v>
      </c>
      <c r="M31" s="7" t="s">
        <v>78</v>
      </c>
    </row>
    <row r="32" spans="1:13" x14ac:dyDescent="0.25">
      <c r="A32" s="2" t="s">
        <v>118</v>
      </c>
      <c r="B32" s="3" t="s">
        <v>109</v>
      </c>
      <c r="C32" s="3" t="s">
        <v>110</v>
      </c>
      <c r="D32" s="3" t="s">
        <v>17</v>
      </c>
      <c r="E32" s="3" t="s">
        <v>119</v>
      </c>
      <c r="F32" s="3" t="s">
        <v>19</v>
      </c>
      <c r="G32" s="4">
        <v>59</v>
      </c>
      <c r="H32" s="4">
        <v>39</v>
      </c>
      <c r="I32" s="5">
        <v>45062</v>
      </c>
      <c r="J32" s="3">
        <v>1</v>
      </c>
      <c r="K32" s="4">
        <v>20</v>
      </c>
      <c r="L32" s="3" t="s">
        <v>33</v>
      </c>
      <c r="M32" s="6" t="s">
        <v>21</v>
      </c>
    </row>
    <row r="33" spans="1:13" x14ac:dyDescent="0.25">
      <c r="A33" s="2" t="s">
        <v>120</v>
      </c>
      <c r="B33" s="3" t="s">
        <v>54</v>
      </c>
      <c r="C33" s="3" t="s">
        <v>55</v>
      </c>
      <c r="D33" s="3" t="s">
        <v>17</v>
      </c>
      <c r="E33" s="3" t="s">
        <v>121</v>
      </c>
      <c r="F33" s="3" t="s">
        <v>51</v>
      </c>
      <c r="G33" s="4">
        <v>79</v>
      </c>
      <c r="H33" s="4">
        <v>59</v>
      </c>
      <c r="I33" s="5">
        <v>45008</v>
      </c>
      <c r="J33" s="3">
        <v>1</v>
      </c>
      <c r="K33" s="4">
        <v>20</v>
      </c>
      <c r="L33" s="3" t="s">
        <v>33</v>
      </c>
      <c r="M33" s="6" t="s">
        <v>21</v>
      </c>
    </row>
    <row r="34" spans="1:13" x14ac:dyDescent="0.25">
      <c r="A34" s="2" t="s">
        <v>122</v>
      </c>
      <c r="B34" s="3" t="s">
        <v>123</v>
      </c>
      <c r="C34" s="3" t="s">
        <v>124</v>
      </c>
      <c r="D34" s="3" t="s">
        <v>17</v>
      </c>
      <c r="E34" s="3" t="s">
        <v>125</v>
      </c>
      <c r="F34" s="3" t="s">
        <v>32</v>
      </c>
      <c r="G34" s="4">
        <v>59</v>
      </c>
      <c r="H34" s="4">
        <v>49</v>
      </c>
      <c r="I34" s="5">
        <v>45102</v>
      </c>
      <c r="J34" s="3">
        <v>1</v>
      </c>
      <c r="K34" s="4">
        <v>10</v>
      </c>
      <c r="L34" s="3" t="s">
        <v>33</v>
      </c>
      <c r="M34" s="6" t="s">
        <v>21</v>
      </c>
    </row>
    <row r="35" spans="1:13" x14ac:dyDescent="0.25">
      <c r="A35" s="2" t="s">
        <v>126</v>
      </c>
      <c r="B35" s="3" t="s">
        <v>105</v>
      </c>
      <c r="C35" s="3" t="s">
        <v>106</v>
      </c>
      <c r="D35" s="3" t="s">
        <v>30</v>
      </c>
      <c r="E35" s="3" t="s">
        <v>127</v>
      </c>
      <c r="F35" s="3" t="s">
        <v>32</v>
      </c>
      <c r="G35" s="4">
        <v>198</v>
      </c>
      <c r="H35" s="4">
        <v>49</v>
      </c>
      <c r="I35" s="5">
        <v>45045</v>
      </c>
      <c r="J35" s="3">
        <v>2</v>
      </c>
      <c r="K35" s="4">
        <v>100</v>
      </c>
      <c r="L35" s="3" t="s">
        <v>33</v>
      </c>
      <c r="M35" s="36" t="s">
        <v>99</v>
      </c>
    </row>
    <row r="36" spans="1:13" x14ac:dyDescent="0.25">
      <c r="A36" s="2" t="s">
        <v>128</v>
      </c>
      <c r="B36" s="3" t="s">
        <v>28</v>
      </c>
      <c r="C36" s="3" t="s">
        <v>29</v>
      </c>
      <c r="D36" s="3" t="s">
        <v>30</v>
      </c>
      <c r="E36" s="3" t="s">
        <v>129</v>
      </c>
      <c r="F36" s="3" t="s">
        <v>72</v>
      </c>
      <c r="G36" s="4">
        <v>79</v>
      </c>
      <c r="H36" s="4">
        <v>29</v>
      </c>
      <c r="I36" s="5">
        <v>45106</v>
      </c>
      <c r="J36" s="3">
        <v>1</v>
      </c>
      <c r="K36" s="4">
        <v>50</v>
      </c>
      <c r="L36" s="3" t="s">
        <v>33</v>
      </c>
      <c r="M36" s="6" t="s">
        <v>21</v>
      </c>
    </row>
    <row r="37" spans="1:13" x14ac:dyDescent="0.25">
      <c r="A37" s="2" t="s">
        <v>130</v>
      </c>
      <c r="B37" s="3" t="s">
        <v>66</v>
      </c>
      <c r="C37" s="3" t="s">
        <v>67</v>
      </c>
      <c r="D37" s="3" t="s">
        <v>17</v>
      </c>
      <c r="E37" s="3" t="s">
        <v>131</v>
      </c>
      <c r="F37" s="3" t="s">
        <v>46</v>
      </c>
      <c r="G37" s="4">
        <v>120</v>
      </c>
      <c r="H37" s="4">
        <v>79</v>
      </c>
      <c r="I37" s="5">
        <v>45014</v>
      </c>
      <c r="J37" s="3">
        <v>1</v>
      </c>
      <c r="K37" s="4">
        <v>41</v>
      </c>
      <c r="L37" s="3" t="s">
        <v>69</v>
      </c>
      <c r="M37" s="6" t="s">
        <v>21</v>
      </c>
    </row>
    <row r="38" spans="1:13" x14ac:dyDescent="0.25">
      <c r="A38" s="2" t="s">
        <v>132</v>
      </c>
      <c r="B38" s="3" t="s">
        <v>80</v>
      </c>
      <c r="C38" s="3" t="s">
        <v>81</v>
      </c>
      <c r="D38" s="3" t="s">
        <v>17</v>
      </c>
      <c r="E38" s="3" t="s">
        <v>133</v>
      </c>
      <c r="F38" s="3" t="s">
        <v>51</v>
      </c>
      <c r="G38" s="4">
        <v>199</v>
      </c>
      <c r="H38" s="4">
        <v>99</v>
      </c>
      <c r="I38" s="5">
        <v>45015</v>
      </c>
      <c r="J38" s="3">
        <v>1</v>
      </c>
      <c r="K38" s="4">
        <v>100</v>
      </c>
      <c r="L38" s="3" t="s">
        <v>20</v>
      </c>
      <c r="M38" s="6" t="s">
        <v>21</v>
      </c>
    </row>
    <row r="39" spans="1:13" x14ac:dyDescent="0.25">
      <c r="A39" s="2" t="s">
        <v>134</v>
      </c>
      <c r="B39" s="3" t="s">
        <v>109</v>
      </c>
      <c r="C39" s="3" t="s">
        <v>110</v>
      </c>
      <c r="D39" s="3" t="s">
        <v>17</v>
      </c>
      <c r="E39" s="3" t="s">
        <v>135</v>
      </c>
      <c r="F39" s="3" t="s">
        <v>46</v>
      </c>
      <c r="G39" s="4">
        <v>79</v>
      </c>
      <c r="H39" s="4">
        <v>69</v>
      </c>
      <c r="I39" s="5">
        <v>45016</v>
      </c>
      <c r="J39" s="3">
        <v>1</v>
      </c>
      <c r="K39" s="4">
        <v>10</v>
      </c>
      <c r="L39" s="3" t="s">
        <v>33</v>
      </c>
      <c r="M39" s="6" t="s">
        <v>21</v>
      </c>
    </row>
    <row r="40" spans="1:13" x14ac:dyDescent="0.25">
      <c r="A40" s="2" t="s">
        <v>136</v>
      </c>
      <c r="B40" s="3" t="s">
        <v>109</v>
      </c>
      <c r="C40" s="3" t="s">
        <v>110</v>
      </c>
      <c r="D40" s="3" t="s">
        <v>17</v>
      </c>
      <c r="E40" s="3" t="s">
        <v>137</v>
      </c>
      <c r="F40" s="3" t="s">
        <v>46</v>
      </c>
      <c r="G40" s="4">
        <v>217</v>
      </c>
      <c r="H40" s="4">
        <v>49</v>
      </c>
      <c r="I40" s="5">
        <v>45078</v>
      </c>
      <c r="J40" s="3">
        <v>3</v>
      </c>
      <c r="K40" s="4">
        <v>70</v>
      </c>
      <c r="L40" s="3" t="s">
        <v>33</v>
      </c>
      <c r="M40" s="36" t="s">
        <v>99</v>
      </c>
    </row>
    <row r="41" spans="1:13" x14ac:dyDescent="0.25">
      <c r="A41" s="2" t="s">
        <v>138</v>
      </c>
      <c r="B41" s="3" t="s">
        <v>23</v>
      </c>
      <c r="C41" s="3" t="s">
        <v>24</v>
      </c>
      <c r="D41" s="3" t="s">
        <v>17</v>
      </c>
      <c r="E41" s="3" t="s">
        <v>139</v>
      </c>
      <c r="F41" s="3" t="s">
        <v>32</v>
      </c>
      <c r="G41" s="4">
        <v>96.05</v>
      </c>
      <c r="H41" s="4">
        <v>19</v>
      </c>
      <c r="I41" s="5">
        <v>45081</v>
      </c>
      <c r="J41" s="3">
        <v>3</v>
      </c>
      <c r="K41" s="4">
        <v>39.049999999999997</v>
      </c>
      <c r="L41" s="3" t="s">
        <v>26</v>
      </c>
      <c r="M41" s="7" t="s">
        <v>78</v>
      </c>
    </row>
    <row r="42" spans="1:13" x14ac:dyDescent="0.25">
      <c r="A42" s="2" t="s">
        <v>140</v>
      </c>
      <c r="B42" s="3" t="s">
        <v>28</v>
      </c>
      <c r="C42" s="3" t="s">
        <v>29</v>
      </c>
      <c r="D42" s="3" t="s">
        <v>30</v>
      </c>
      <c r="E42" s="3" t="s">
        <v>141</v>
      </c>
      <c r="F42" s="3" t="s">
        <v>38</v>
      </c>
      <c r="G42" s="4">
        <v>54</v>
      </c>
      <c r="H42" s="4">
        <v>49</v>
      </c>
      <c r="I42" s="5">
        <v>45020</v>
      </c>
      <c r="J42" s="3">
        <v>1</v>
      </c>
      <c r="K42" s="4">
        <v>5</v>
      </c>
      <c r="L42" s="3" t="s">
        <v>33</v>
      </c>
      <c r="M42" s="6" t="s">
        <v>21</v>
      </c>
    </row>
    <row r="43" spans="1:13" x14ac:dyDescent="0.25">
      <c r="A43" s="2" t="s">
        <v>142</v>
      </c>
      <c r="B43" s="3" t="s">
        <v>123</v>
      </c>
      <c r="C43" s="3" t="s">
        <v>124</v>
      </c>
      <c r="D43" s="3" t="s">
        <v>17</v>
      </c>
      <c r="E43" s="3" t="s">
        <v>143</v>
      </c>
      <c r="F43" s="3" t="s">
        <v>144</v>
      </c>
      <c r="G43" s="4">
        <v>39</v>
      </c>
      <c r="H43" s="4">
        <v>29</v>
      </c>
      <c r="I43" s="5">
        <v>44990</v>
      </c>
      <c r="J43" s="3">
        <v>1</v>
      </c>
      <c r="K43" s="4">
        <v>10</v>
      </c>
      <c r="L43" s="3" t="s">
        <v>33</v>
      </c>
      <c r="M43" s="6" t="s">
        <v>21</v>
      </c>
    </row>
    <row r="44" spans="1:13" x14ac:dyDescent="0.25">
      <c r="A44" s="2"/>
      <c r="B44" s="3"/>
      <c r="C44" s="3"/>
      <c r="D44" s="3"/>
      <c r="E44" s="3"/>
      <c r="F44" s="3"/>
      <c r="G44" s="24"/>
      <c r="H44" s="24"/>
      <c r="I44" s="5"/>
      <c r="J44" s="3"/>
      <c r="K44" s="24"/>
      <c r="L44" s="3"/>
      <c r="M44" s="37"/>
    </row>
    <row r="45" spans="1:13" x14ac:dyDescent="0.25">
      <c r="A45" s="2"/>
      <c r="B45" s="3"/>
      <c r="C45" s="3"/>
      <c r="D45" s="3"/>
      <c r="E45" s="3"/>
      <c r="F45" s="3"/>
      <c r="G45" s="24"/>
      <c r="H45" s="24"/>
      <c r="I45" s="5"/>
      <c r="J45" s="3"/>
      <c r="K45" s="24"/>
      <c r="L45" s="3"/>
      <c r="M45" s="33"/>
    </row>
    <row r="46" spans="1:13" x14ac:dyDescent="0.25">
      <c r="A46" s="2"/>
      <c r="B46" s="3"/>
      <c r="C46" s="3"/>
      <c r="D46" s="3"/>
      <c r="E46" s="3"/>
      <c r="F46" s="3"/>
      <c r="G46" s="24"/>
      <c r="H46" s="24"/>
      <c r="I46" s="5"/>
      <c r="J46" s="3"/>
      <c r="K46" s="24"/>
      <c r="L46" s="3"/>
      <c r="M46" s="33"/>
    </row>
    <row r="47" spans="1:13" x14ac:dyDescent="0.25">
      <c r="A47" s="2"/>
      <c r="B47" s="3"/>
      <c r="C47" s="3"/>
      <c r="D47" s="3"/>
      <c r="E47" s="3"/>
      <c r="F47" s="3"/>
      <c r="G47" s="24"/>
      <c r="H47" s="24"/>
      <c r="I47" s="5"/>
      <c r="J47" s="3"/>
      <c r="K47" s="24"/>
      <c r="L47" s="3"/>
      <c r="M47" s="8"/>
    </row>
    <row r="48" spans="1:13" x14ac:dyDescent="0.25">
      <c r="A48" s="2"/>
      <c r="B48" s="3"/>
      <c r="C48" s="3"/>
      <c r="D48" s="3"/>
      <c r="E48" s="3"/>
      <c r="F48" s="3"/>
      <c r="G48" s="24"/>
      <c r="H48" s="24"/>
      <c r="I48" s="5"/>
      <c r="J48" s="3"/>
      <c r="K48" s="24"/>
      <c r="L48" s="3"/>
      <c r="M48" s="8"/>
    </row>
    <row r="49" spans="1:13" x14ac:dyDescent="0.25">
      <c r="A49" s="2"/>
      <c r="B49" s="3"/>
      <c r="C49" s="3"/>
      <c r="D49" s="3"/>
      <c r="E49" s="3"/>
      <c r="F49" s="3"/>
      <c r="G49" s="24"/>
      <c r="H49" s="24"/>
      <c r="I49" s="5"/>
      <c r="J49" s="3"/>
      <c r="K49" s="24"/>
      <c r="L49" s="3"/>
      <c r="M49" s="8"/>
    </row>
    <row r="50" spans="1:13" x14ac:dyDescent="0.25">
      <c r="A50" s="9"/>
      <c r="B50" s="10"/>
      <c r="C50" s="10"/>
      <c r="D50" s="10"/>
      <c r="E50" s="10"/>
      <c r="F50" s="10"/>
      <c r="G50" s="29"/>
      <c r="H50" s="29"/>
      <c r="I50" s="30"/>
      <c r="J50" s="10"/>
      <c r="K50" s="29"/>
      <c r="L50" s="10"/>
      <c r="M50" s="11"/>
    </row>
    <row r="51" spans="1:13" x14ac:dyDescent="0.25">
      <c r="G51" s="31"/>
      <c r="H51" s="31"/>
      <c r="I51" s="32"/>
      <c r="K51" s="31"/>
    </row>
    <row r="52" spans="1:13" x14ac:dyDescent="0.25">
      <c r="G52" s="31"/>
      <c r="H52" s="31"/>
      <c r="I52" s="32"/>
      <c r="K52" s="31"/>
    </row>
    <row r="53" spans="1:13" x14ac:dyDescent="0.25">
      <c r="G53" s="31"/>
      <c r="H53" s="31"/>
      <c r="I53" s="32"/>
      <c r="K53" s="31"/>
    </row>
    <row r="54" spans="1:13" x14ac:dyDescent="0.25">
      <c r="G54" s="31"/>
      <c r="H54" s="31"/>
      <c r="I54" s="32"/>
      <c r="K54" s="31"/>
    </row>
    <row r="55" spans="1:13" x14ac:dyDescent="0.25">
      <c r="G55" s="31"/>
      <c r="H55" s="31"/>
      <c r="I55" s="32"/>
      <c r="K55" s="31"/>
    </row>
  </sheetData>
  <mergeCells count="1">
    <mergeCell ref="A2:M2"/>
  </mergeCells>
  <pageMargins left="0.70000000000000007" right="0.70000000000000007" top="0.75" bottom="0.75" header="0.30000000000000004" footer="0.30000000000000004"/>
  <pageSetup paperSize="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Database">
                <anchor moveWithCells="1" sizeWithCells="1">
                  <from>
                    <xdr:col>13</xdr:col>
                    <xdr:colOff>533400</xdr:colOff>
                    <xdr:row>3</xdr:row>
                    <xdr:rowOff>152400</xdr:rowOff>
                  </from>
                  <to>
                    <xdr:col>16</xdr:col>
                    <xdr:colOff>133350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orOrderStatus.ColorOrderStatus">
                <anchor moveWithCells="1" sizeWithCells="1">
                  <from>
                    <xdr:col>13</xdr:col>
                    <xdr:colOff>542925</xdr:colOff>
                    <xdr:row>7</xdr:row>
                    <xdr:rowOff>161925</xdr:rowOff>
                  </from>
                  <to>
                    <xdr:col>16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aveDataToDatabase.SaveDataToDatabase">
                <anchor moveWithCells="1" sizeWithCells="1">
                  <from>
                    <xdr:col>14</xdr:col>
                    <xdr:colOff>0</xdr:colOff>
                    <xdr:row>12</xdr:row>
                    <xdr:rowOff>133350</xdr:rowOff>
                  </from>
                  <to>
                    <xdr:col>16</xdr:col>
                    <xdr:colOff>200025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E4249-7D6F-4A71-B05F-ECE65EF6B13C}">
  <sheetPr codeName="Sheet3"/>
  <dimension ref="A3:J11"/>
  <sheetViews>
    <sheetView workbookViewId="0">
      <selection activeCell="A3" sqref="A3"/>
      <pivotSelection pane="bottomRight" showHeader="1" activeRow="2" previousRow="2" click="2" r:id="rId1">
        <pivotArea type="origin" dataOnly="0" labelOnly="1" outline="0" fieldPosition="0"/>
      </pivotSelection>
    </sheetView>
  </sheetViews>
  <sheetFormatPr defaultRowHeight="15" x14ac:dyDescent="0.25"/>
  <cols>
    <col min="1" max="1" width="15.85546875" bestFit="1" customWidth="1"/>
    <col min="2" max="2" width="10.140625" bestFit="1" customWidth="1"/>
    <col min="3" max="3" width="5" bestFit="1" customWidth="1"/>
    <col min="4" max="4" width="7" bestFit="1" customWidth="1"/>
    <col min="5" max="5" width="7.42578125" bestFit="1" customWidth="1"/>
    <col min="6" max="6" width="5.85546875" bestFit="1" customWidth="1"/>
    <col min="7" max="7" width="11.85546875" bestFit="1" customWidth="1"/>
    <col min="8" max="8" width="5.140625" bestFit="1" customWidth="1"/>
    <col min="9" max="9" width="8" bestFit="1" customWidth="1"/>
    <col min="10" max="10" width="11.28515625" bestFit="1" customWidth="1"/>
  </cols>
  <sheetData>
    <row r="3" spans="1:10" x14ac:dyDescent="0.25">
      <c r="A3" s="15" t="s">
        <v>146</v>
      </c>
      <c r="B3" s="15" t="s">
        <v>155</v>
      </c>
    </row>
    <row r="4" spans="1:10" x14ac:dyDescent="0.25">
      <c r="A4" s="15" t="s">
        <v>147</v>
      </c>
      <c r="B4" t="s">
        <v>144</v>
      </c>
      <c r="C4" t="s">
        <v>19</v>
      </c>
      <c r="D4" t="s">
        <v>77</v>
      </c>
      <c r="E4" t="s">
        <v>38</v>
      </c>
      <c r="F4" t="s">
        <v>51</v>
      </c>
      <c r="G4" t="s">
        <v>46</v>
      </c>
      <c r="H4" t="s">
        <v>72</v>
      </c>
      <c r="I4" t="s">
        <v>32</v>
      </c>
      <c r="J4" t="s">
        <v>148</v>
      </c>
    </row>
    <row r="5" spans="1:10" x14ac:dyDescent="0.25">
      <c r="A5" s="12" t="s">
        <v>149</v>
      </c>
      <c r="B5" s="14"/>
      <c r="C5" s="14">
        <v>262</v>
      </c>
      <c r="D5" s="14"/>
      <c r="E5" s="14">
        <v>99</v>
      </c>
      <c r="F5" s="14"/>
      <c r="G5" s="14">
        <v>199</v>
      </c>
      <c r="H5" s="14">
        <v>40</v>
      </c>
      <c r="I5" s="14">
        <v>79</v>
      </c>
      <c r="J5" s="14">
        <v>679</v>
      </c>
    </row>
    <row r="6" spans="1:10" x14ac:dyDescent="0.25">
      <c r="A6" s="12" t="s">
        <v>150</v>
      </c>
      <c r="B6" s="14"/>
      <c r="C6" s="14"/>
      <c r="D6" s="14">
        <v>89</v>
      </c>
      <c r="E6" s="14"/>
      <c r="F6" s="14"/>
      <c r="G6" s="14">
        <v>184</v>
      </c>
      <c r="H6" s="14"/>
      <c r="I6" s="14">
        <v>491.15999999999997</v>
      </c>
      <c r="J6" s="14">
        <v>764.16</v>
      </c>
    </row>
    <row r="7" spans="1:10" x14ac:dyDescent="0.25">
      <c r="A7" s="12" t="s">
        <v>151</v>
      </c>
      <c r="B7" s="14">
        <v>39</v>
      </c>
      <c r="C7" s="14"/>
      <c r="D7" s="14">
        <v>249</v>
      </c>
      <c r="E7" s="14"/>
      <c r="F7" s="14">
        <v>278</v>
      </c>
      <c r="G7" s="14">
        <v>278</v>
      </c>
      <c r="H7" s="14"/>
      <c r="I7" s="14">
        <v>594</v>
      </c>
      <c r="J7" s="14">
        <v>1438</v>
      </c>
    </row>
    <row r="8" spans="1:10" x14ac:dyDescent="0.25">
      <c r="A8" s="12" t="s">
        <v>152</v>
      </c>
      <c r="B8" s="14"/>
      <c r="C8" s="14"/>
      <c r="D8" s="14"/>
      <c r="E8" s="14">
        <v>54</v>
      </c>
      <c r="F8" s="14">
        <v>215</v>
      </c>
      <c r="G8" s="14"/>
      <c r="H8" s="14"/>
      <c r="I8" s="14">
        <v>277</v>
      </c>
      <c r="J8" s="14">
        <v>546</v>
      </c>
    </row>
    <row r="9" spans="1:10" x14ac:dyDescent="0.25">
      <c r="A9" s="12" t="s">
        <v>153</v>
      </c>
      <c r="B9" s="14"/>
      <c r="C9" s="14">
        <v>59</v>
      </c>
      <c r="D9" s="14">
        <v>66.34</v>
      </c>
      <c r="E9" s="14"/>
      <c r="F9" s="14">
        <v>199</v>
      </c>
      <c r="G9" s="14"/>
      <c r="H9" s="14"/>
      <c r="I9" s="14">
        <v>257</v>
      </c>
      <c r="J9" s="14">
        <v>581.34</v>
      </c>
    </row>
    <row r="10" spans="1:10" x14ac:dyDescent="0.25">
      <c r="A10" s="12" t="s">
        <v>154</v>
      </c>
      <c r="B10" s="14"/>
      <c r="C10" s="14"/>
      <c r="D10" s="14"/>
      <c r="E10" s="14">
        <v>198</v>
      </c>
      <c r="F10" s="14">
        <v>149</v>
      </c>
      <c r="G10" s="14">
        <v>217</v>
      </c>
      <c r="H10" s="14">
        <v>79</v>
      </c>
      <c r="I10" s="14">
        <v>313.05</v>
      </c>
      <c r="J10" s="14">
        <v>956.05</v>
      </c>
    </row>
    <row r="11" spans="1:10" x14ac:dyDescent="0.25">
      <c r="A11" s="12" t="s">
        <v>148</v>
      </c>
      <c r="B11" s="14">
        <v>39</v>
      </c>
      <c r="C11" s="14">
        <v>321</v>
      </c>
      <c r="D11" s="14">
        <v>404.34000000000003</v>
      </c>
      <c r="E11" s="14">
        <v>351</v>
      </c>
      <c r="F11" s="14">
        <v>841</v>
      </c>
      <c r="G11" s="14">
        <v>878</v>
      </c>
      <c r="H11" s="14">
        <v>119</v>
      </c>
      <c r="I11" s="14">
        <v>2011.2099999999998</v>
      </c>
      <c r="J11" s="14">
        <v>4964.55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F12"/>
  <sheetViews>
    <sheetView workbookViewId="0">
      <selection activeCell="A12" sqref="A12:F12"/>
    </sheetView>
  </sheetViews>
  <sheetFormatPr defaultRowHeight="15" x14ac:dyDescent="0.25"/>
  <cols>
    <col min="1" max="6" width="14.7109375" style="26" customWidth="1"/>
    <col min="7" max="16384" width="9.140625" style="26"/>
  </cols>
  <sheetData>
    <row r="1" spans="1:6" x14ac:dyDescent="0.25">
      <c r="A1" s="25" t="s">
        <v>3</v>
      </c>
      <c r="B1" s="25" t="s">
        <v>4</v>
      </c>
      <c r="C1" s="25" t="s">
        <v>1</v>
      </c>
      <c r="D1" s="25" t="s">
        <v>7</v>
      </c>
      <c r="E1" s="25" t="s">
        <v>9</v>
      </c>
      <c r="F1" s="25" t="s">
        <v>13</v>
      </c>
    </row>
    <row r="2" spans="1:6" x14ac:dyDescent="0.25">
      <c r="A2" s="27" t="s">
        <v>67</v>
      </c>
      <c r="B2" s="27" t="s">
        <v>17</v>
      </c>
      <c r="C2" s="27" t="s">
        <v>65</v>
      </c>
      <c r="D2" s="27">
        <v>297</v>
      </c>
      <c r="E2" s="28">
        <v>44980</v>
      </c>
      <c r="F2" s="27" t="s">
        <v>21</v>
      </c>
    </row>
    <row r="3" spans="1:6" x14ac:dyDescent="0.25">
      <c r="A3" s="27" t="s">
        <v>67</v>
      </c>
      <c r="B3" s="27" t="s">
        <v>17</v>
      </c>
      <c r="C3" s="27" t="s">
        <v>130</v>
      </c>
      <c r="D3" s="27">
        <v>120</v>
      </c>
      <c r="E3" s="28">
        <v>45014</v>
      </c>
      <c r="F3" s="27" t="s">
        <v>21</v>
      </c>
    </row>
    <row r="4" spans="1:6" x14ac:dyDescent="0.25">
      <c r="A4" s="27"/>
      <c r="B4" s="27"/>
      <c r="C4" s="27"/>
      <c r="D4" s="27"/>
      <c r="E4" s="28"/>
      <c r="F4" s="27"/>
    </row>
    <row r="5" spans="1:6" x14ac:dyDescent="0.25">
      <c r="A5" s="27"/>
      <c r="B5" s="27"/>
      <c r="C5" s="27"/>
      <c r="D5" s="27"/>
      <c r="E5" s="27"/>
      <c r="F5" s="27"/>
    </row>
    <row r="6" spans="1:6" x14ac:dyDescent="0.25">
      <c r="A6" s="27"/>
      <c r="B6" s="27"/>
      <c r="C6" s="27"/>
      <c r="D6" s="27"/>
      <c r="E6" s="27"/>
      <c r="F6" s="27"/>
    </row>
    <row r="7" spans="1:6" x14ac:dyDescent="0.25">
      <c r="A7" s="27"/>
      <c r="B7" s="27"/>
      <c r="C7" s="27"/>
      <c r="D7" s="27"/>
      <c r="E7" s="27"/>
      <c r="F7" s="27"/>
    </row>
    <row r="8" spans="1:6" x14ac:dyDescent="0.25">
      <c r="A8" s="27"/>
      <c r="B8" s="27"/>
      <c r="C8" s="27"/>
      <c r="D8" s="27"/>
      <c r="E8" s="27"/>
      <c r="F8" s="27"/>
    </row>
    <row r="9" spans="1:6" x14ac:dyDescent="0.25">
      <c r="A9" s="27"/>
      <c r="B9" s="27"/>
      <c r="C9" s="27"/>
      <c r="D9" s="27"/>
      <c r="E9" s="27"/>
      <c r="F9" s="27"/>
    </row>
    <row r="10" spans="1:6" x14ac:dyDescent="0.25">
      <c r="A10" s="27"/>
      <c r="B10" s="27"/>
      <c r="C10" s="27"/>
      <c r="D10" s="27"/>
      <c r="E10" s="27"/>
      <c r="F10" s="27"/>
    </row>
    <row r="12" spans="1:6" ht="21" x14ac:dyDescent="0.35">
      <c r="A12" s="39" t="s">
        <v>160</v>
      </c>
      <c r="B12" s="39"/>
      <c r="C12" s="39"/>
      <c r="D12" s="39"/>
      <c r="E12" s="39"/>
      <c r="F12" s="39"/>
    </row>
  </sheetData>
  <mergeCells count="1">
    <mergeCell ref="A12:F12"/>
  </mergeCells>
  <pageMargins left="0.70000000000000007" right="0.70000000000000007" top="0.75" bottom="0.75" header="0.30000000000000004" footer="0.30000000000000004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CustomerDetailsAndOutstandingOrders">
                <anchor moveWithCells="1" sizeWithCells="1">
                  <from>
                    <xdr:col>9</xdr:col>
                    <xdr:colOff>76200</xdr:colOff>
                    <xdr:row>1</xdr:row>
                    <xdr:rowOff>9525</xdr:rowOff>
                  </from>
                  <to>
                    <xdr:col>11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49</vt:i4>
      </vt:variant>
    </vt:vector>
  </HeadingPairs>
  <TitlesOfParts>
    <vt:vector size="52" baseType="lpstr">
      <vt:lpstr>OnlineClothShop</vt:lpstr>
      <vt:lpstr>Sales Pivot Table</vt:lpstr>
      <vt:lpstr>CustomerDetails</vt:lpstr>
      <vt:lpstr>BA_City</vt:lpstr>
      <vt:lpstr>BA_CustomerID</vt:lpstr>
      <vt:lpstr>BA_CustomerName</vt:lpstr>
      <vt:lpstr>BA_Gender</vt:lpstr>
      <vt:lpstr>BA_OrderDate</vt:lpstr>
      <vt:lpstr>BA_OrderID</vt:lpstr>
      <vt:lpstr>BA_OrderStatus</vt:lpstr>
      <vt:lpstr>BA_ProductID</vt:lpstr>
      <vt:lpstr>BA_Products</vt:lpstr>
      <vt:lpstr>BA_Profit</vt:lpstr>
      <vt:lpstr>BA_Quantity</vt:lpstr>
      <vt:lpstr>BA_SalePrice</vt:lpstr>
      <vt:lpstr>BA_UnitCost</vt:lpstr>
      <vt:lpstr>Business_Analysis_Management</vt:lpstr>
      <vt:lpstr>OnlineClothShop!City</vt:lpstr>
      <vt:lpstr>Customer</vt:lpstr>
      <vt:lpstr>OnlineClothShop!CustomerID</vt:lpstr>
      <vt:lpstr>CustomerN</vt:lpstr>
      <vt:lpstr>CustomerDetails!CustomerName</vt:lpstr>
      <vt:lpstr>OnlineClothShop!CustomerName</vt:lpstr>
      <vt:lpstr>CustomerDetails!Gender</vt:lpstr>
      <vt:lpstr>OnlineClothShop!Gender</vt:lpstr>
      <vt:lpstr>New_City</vt:lpstr>
      <vt:lpstr>New_CustomerID</vt:lpstr>
      <vt:lpstr>New_CustomerName</vt:lpstr>
      <vt:lpstr>New_Gender</vt:lpstr>
      <vt:lpstr>New_OrderDate</vt:lpstr>
      <vt:lpstr>New_OrderID</vt:lpstr>
      <vt:lpstr>New_OrderStatus</vt:lpstr>
      <vt:lpstr>New_ProductID</vt:lpstr>
      <vt:lpstr>New_Products</vt:lpstr>
      <vt:lpstr>New_Profit</vt:lpstr>
      <vt:lpstr>New_Quantity</vt:lpstr>
      <vt:lpstr>New_SalePrice</vt:lpstr>
      <vt:lpstr>New_UnitCost</vt:lpstr>
      <vt:lpstr>CustomerDetails!OrderDate</vt:lpstr>
      <vt:lpstr>OnlineClothShop!OrderDate</vt:lpstr>
      <vt:lpstr>CustomerDetails!OrderID</vt:lpstr>
      <vt:lpstr>OrderID</vt:lpstr>
      <vt:lpstr>CustomerDetails!OrderStatus</vt:lpstr>
      <vt:lpstr>OnlineClothShop!OrderStatus</vt:lpstr>
      <vt:lpstr>Outstanding_Order_Check_System</vt:lpstr>
      <vt:lpstr>OnlineClothShop!ProductID</vt:lpstr>
      <vt:lpstr>OnlineClothShop!Products</vt:lpstr>
      <vt:lpstr>OnlineClothShop!Profit</vt:lpstr>
      <vt:lpstr>OnlineClothShop!Quantity</vt:lpstr>
      <vt:lpstr>CustomerDetails!SalePrice</vt:lpstr>
      <vt:lpstr>OnlineClothShop!SalePrice</vt:lpstr>
      <vt:lpstr>OnlineClothShop!UnitCost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Zihan Zhao</dc:creator>
  <cp:lastModifiedBy>Zihan Zhao</cp:lastModifiedBy>
  <dcterms:created xsi:type="dcterms:W3CDTF">2024-12-30T22:02:38Z</dcterms:created>
  <dcterms:modified xsi:type="dcterms:W3CDTF">2025-01-22T13:52:31Z</dcterms:modified>
</cp:coreProperties>
</file>